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Profits6\alimento\Data\data\"/>
    </mc:Choice>
  </mc:AlternateContent>
  <xr:revisionPtr revIDLastSave="0" documentId="8_{A00AC8CC-EFF1-421D-A3D8-F8A21E131C0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22" i="1" l="1"/>
  <c r="H22" i="1"/>
  <c r="M17" i="1" l="1"/>
  <c r="L17" i="1"/>
  <c r="K17" i="1"/>
  <c r="K23" i="1" s="1"/>
  <c r="J17" i="1"/>
  <c r="I17" i="1"/>
  <c r="H17" i="1"/>
  <c r="G17" i="1"/>
  <c r="G23" i="1" s="1"/>
  <c r="F17" i="1"/>
  <c r="F23" i="1" s="1"/>
  <c r="E17" i="1"/>
  <c r="E23" i="1" s="1"/>
  <c r="D17" i="1"/>
  <c r="D23" i="1" s="1"/>
  <c r="I23" i="1"/>
  <c r="J23" i="1"/>
  <c r="L23" i="1"/>
  <c r="B22" i="1"/>
  <c r="D22" i="1"/>
  <c r="H23" i="1" l="1"/>
  <c r="M23" i="1" s="1"/>
  <c r="N23" i="1" s="1"/>
  <c r="H24" i="1"/>
  <c r="N24" i="1" s="1"/>
  <c r="N22" i="1"/>
  <c r="N5" i="1"/>
  <c r="N14" i="1"/>
  <c r="N16" i="1"/>
  <c r="N12" i="1"/>
  <c r="N10" i="1"/>
  <c r="N8" i="1"/>
  <c r="N6" i="1"/>
  <c r="N11" i="1"/>
  <c r="N13" i="1"/>
  <c r="N7" i="1"/>
  <c r="N9" i="1"/>
  <c r="N15" i="1"/>
  <c r="N17" i="1" l="1"/>
  <c r="N19" i="1" s="1"/>
  <c r="N20" i="1" l="1"/>
  <c r="B25" i="1"/>
  <c r="B26" i="1" s="1"/>
  <c r="D26" i="1" l="1"/>
  <c r="D27" i="1" s="1"/>
  <c r="J26" i="1"/>
  <c r="J27" i="1" s="1"/>
  <c r="I26" i="1"/>
  <c r="I27" i="1" s="1"/>
  <c r="E26" i="1"/>
  <c r="E27" i="1" s="1"/>
  <c r="K26" i="1"/>
  <c r="K27" i="1" s="1"/>
  <c r="H26" i="1"/>
  <c r="H27" i="1" s="1"/>
  <c r="L26" i="1"/>
  <c r="L27" i="1" s="1"/>
  <c r="G26" i="1"/>
  <c r="G27" i="1" s="1"/>
  <c r="F26" i="1"/>
  <c r="F27" i="1" s="1"/>
  <c r="M26" i="1" l="1"/>
  <c r="M27" i="1" s="1"/>
  <c r="N26" i="1" l="1"/>
  <c r="N27" i="1"/>
  <c r="N28" i="1" s="1"/>
</calcChain>
</file>

<file path=xl/sharedStrings.xml><?xml version="1.0" encoding="utf-8"?>
<sst xmlns="http://schemas.openxmlformats.org/spreadsheetml/2006/main" count="38" uniqueCount="38">
  <si>
    <t>GALPON1</t>
  </si>
  <si>
    <t>GALPON2</t>
  </si>
  <si>
    <t>GALPON3</t>
  </si>
  <si>
    <t>GALPON4</t>
  </si>
  <si>
    <t>GALPON5</t>
  </si>
  <si>
    <t>GALPON6</t>
  </si>
  <si>
    <t>GALPON7</t>
  </si>
  <si>
    <t>GALPON8</t>
  </si>
  <si>
    <t>GALPON9</t>
  </si>
  <si>
    <t>GALPON10</t>
  </si>
  <si>
    <t>INFORMACIÓN A EXTRAER DE FANCOM</t>
  </si>
  <si>
    <t>TOTAL DÍA</t>
  </si>
  <si>
    <t>BATERIA 1</t>
  </si>
  <si>
    <t>BATERIA 2</t>
  </si>
  <si>
    <t>BATERIA 3</t>
  </si>
  <si>
    <t>BATERIA 4</t>
  </si>
  <si>
    <t>BATERIA 5</t>
  </si>
  <si>
    <t>BATERIA 6</t>
  </si>
  <si>
    <t>BATERIA 7</t>
  </si>
  <si>
    <t>BATERIA 8</t>
  </si>
  <si>
    <t>BATERIA 9</t>
  </si>
  <si>
    <t>BATERIA 10</t>
  </si>
  <si>
    <t>BATERIA 11</t>
  </si>
  <si>
    <t>BATERIA 12</t>
  </si>
  <si>
    <t>TOTAL</t>
  </si>
  <si>
    <t>DIF</t>
  </si>
  <si>
    <t>%</t>
  </si>
  <si>
    <t>AJUSTE POR FALLA CONTADOR</t>
  </si>
  <si>
    <t>NETO A SUBIR A PROTEIN</t>
  </si>
  <si>
    <t>ajuste neto por dif clasif</t>
  </si>
  <si>
    <t xml:space="preserve"> DIFcon CLASIFICADORA</t>
  </si>
  <si>
    <t>TRASLADO FÍSICO A DESPACHOS(INCLUYE PNC, ROTO Y DESECHO)</t>
  </si>
  <si>
    <t>SE DIGITA POR GALPÓN CUANDO HAYA LUGAR</t>
  </si>
  <si>
    <t>ES LA CANTIDAD QUE SE ENCUENTRA EN EL SISTEMA DURANTE EL ANALISIS DE CLASIFICACIÓN Y SE PRORATEA POR GALPÓN SEGÚN LOS TOTALES DEL CONTADOR DE FANCOM POR DÍA. FILA 17</t>
  </si>
  <si>
    <t>AJUSTE POR GALLINAS QUE AÚN NO ENTRAN A POSTURA</t>
  </si>
  <si>
    <t>ESTA ES LA DIF,. ENTRE LO ENTREAGDO POR SISTEMA EL DIA DE LA CLASIFICACIÓN ( ANALISIS DE CLASIFICACIÓN, N18) MENOS LO CONTADO POR FANCOM, MENOS LO AJUSTADO POR FALLAS DE CONTADOR FILA 22</t>
  </si>
  <si>
    <t>DIF ENTRE PROTEIN Y CLASIF DEBE SER SOLO LOS HUEVOS DE LOS LOTES QUE ÁUN NO INGRESA A POSTURA</t>
  </si>
  <si>
    <t>AJUSTE POR DESECHO (YA NO ES NECESARIO9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</si>
</sst>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9" fontId="0" fillId="0" borderId="1" xfId="2" applyFont="1" applyBorder="1"/>
    <xf numFmtId="164" fontId="0" fillId="2" borderId="3" xfId="1" applyNumberFormat="1" applyFont="1" applyFill="1" applyBorder="1"/>
    <xf numFmtId="164" fontId="0" fillId="0" borderId="1" xfId="1" applyNumberFormat="1" applyFont="1" applyBorder="1"/>
    <xf numFmtId="18" fontId="0" fillId="0" borderId="0" xfId="0" applyNumberFormat="1"/>
    <xf numFmtId="164" fontId="0" fillId="3" borderId="3" xfId="1" applyNumberFormat="1" applyFont="1" applyFill="1" applyBorder="1"/>
    <xf numFmtId="1" fontId="0" fillId="0" borderId="1" xfId="0" applyNumberFormat="1" applyBorder="1"/>
    <xf numFmtId="1" fontId="0" fillId="0" borderId="0" xfId="0" applyNumberFormat="1"/>
    <xf numFmtId="164" fontId="0" fillId="0" borderId="1" xfId="0" applyNumberFormat="1" applyBorder="1"/>
    <xf numFmtId="164" fontId="0" fillId="3" borderId="1" xfId="1" applyNumberFormat="1" applyFont="1" applyFill="1" applyBorder="1"/>
    <xf numFmtId="0" fontId="0" fillId="4" borderId="0" xfId="0" applyFill="1"/>
    <xf numFmtId="0" fontId="0" fillId="4" borderId="1" xfId="0" applyFill="1" applyBorder="1"/>
    <xf numFmtId="1" fontId="0" fillId="4" borderId="1" xfId="0" applyNumberFormat="1" applyFill="1" applyBorder="1"/>
    <xf numFmtId="0" fontId="0" fillId="5" borderId="0" xfId="0" applyFill="1"/>
    <xf numFmtId="0" fontId="0" fillId="5" borderId="1" xfId="0" applyFill="1" applyBorder="1"/>
    <xf numFmtId="1" fontId="0" fillId="5" borderId="1" xfId="0" applyNumberFormat="1" applyFill="1" applyBorder="1"/>
    <xf numFmtId="164" fontId="0" fillId="5" borderId="1" xfId="1" applyNumberFormat="1" applyFont="1" applyFill="1" applyBorder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28"/>
  <sheetViews>
    <sheetView tabSelected="1" topLeftCell="A2" zoomScale="90" zoomScaleNormal="90" workbookViewId="0">
      <pane xSplit="3" ySplit="3" topLeftCell="D5" activePane="bottomRight" state="frozen"/>
      <selection activeCell="A2" sqref="A2"/>
      <selection pane="topRight" activeCell="C2" sqref="C2"/>
      <selection pane="bottomLeft" activeCell="A5" sqref="A5"/>
      <selection pane="bottomRight" activeCell="B10" sqref="B10"/>
    </sheetView>
  </sheetViews>
  <sheetFormatPr baseColWidth="10" defaultRowHeight="15" x14ac:dyDescent="0.25"/>
  <cols>
    <col min="1" max="1" width="30.42578125" customWidth="1"/>
    <col min="2" max="2" width="10.28515625" customWidth="1"/>
    <col min="4" max="4" width="16.7109375" bestFit="1" customWidth="1"/>
    <col min="13" max="13" width="13" customWidth="1"/>
    <col min="14" max="14" width="17.140625" customWidth="1"/>
  </cols>
  <sheetData>
    <row r="2" spans="3:14" x14ac:dyDescent="0.25">
      <c r="C2" t="s">
        <v>10</v>
      </c>
    </row>
    <row r="4" spans="3:14" x14ac:dyDescent="0.25">
      <c r="C4" s="1"/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24</v>
      </c>
    </row>
    <row r="5" spans="3:14" x14ac:dyDescent="0.25">
      <c r="C5" s="1" t="s">
        <v>12</v>
      </c>
      <c r="D5" s="5">
        <v>4933.333333333333</v>
      </c>
      <c r="E5" s="5">
        <v>4933.333333333333</v>
      </c>
      <c r="F5" s="5">
        <v>4933.333333333333</v>
      </c>
      <c r="G5" s="5">
        <v>4933.333333333333</v>
      </c>
      <c r="H5" s="5">
        <v>6166.666666666667</v>
      </c>
      <c r="I5" s="5">
        <v>6166.666666666667</v>
      </c>
      <c r="J5" s="5">
        <v>6783.333333333333</v>
      </c>
      <c r="K5" s="5">
        <v>6783.333333333333</v>
      </c>
      <c r="L5" s="5">
        <v>8016.666666666667</v>
      </c>
      <c r="M5" s="5">
        <v>8016.666666666667</v>
      </c>
      <c r="N5" s="5">
        <f>SUM(D5:M5)</f>
        <v>61666.666666666664</v>
      </c>
    </row>
    <row r="6" spans="3:14" x14ac:dyDescent="0.25">
      <c r="C6" s="1" t="s">
        <v>13</v>
      </c>
      <c r="D6" s="11">
        <v>2000</v>
      </c>
      <c r="E6" s="5">
        <v>4933.333333333333</v>
      </c>
      <c r="F6" s="5">
        <v>4933.333333333333</v>
      </c>
      <c r="G6" s="5">
        <v>4933.333333333333</v>
      </c>
      <c r="H6" s="11">
        <v>6167</v>
      </c>
      <c r="I6" s="5">
        <v>6166.666666666667</v>
      </c>
      <c r="J6" s="5">
        <v>6783.333333333333</v>
      </c>
      <c r="K6" s="11">
        <v>6783</v>
      </c>
      <c r="L6" s="5">
        <v>8016.666666666667</v>
      </c>
      <c r="M6" s="5">
        <v>8016.666666666667</v>
      </c>
      <c r="N6" s="5">
        <f t="shared" ref="N6:N16" si="0">SUM(D6:M6)</f>
        <v>58733.333333333328</v>
      </c>
    </row>
    <row r="7" spans="3:14" x14ac:dyDescent="0.25">
      <c r="C7" s="1" t="s">
        <v>14</v>
      </c>
      <c r="D7" s="5">
        <v>4933.333333333333</v>
      </c>
      <c r="E7" s="5">
        <v>4933.333333333333</v>
      </c>
      <c r="F7" s="5">
        <v>4933.333333333333</v>
      </c>
      <c r="G7" s="5">
        <v>4933.333333333333</v>
      </c>
      <c r="H7" s="5">
        <v>0</v>
      </c>
      <c r="I7" s="5">
        <v>6166.666666666667</v>
      </c>
      <c r="J7" s="5">
        <v>6783.333333333333</v>
      </c>
      <c r="K7" s="5">
        <v>6783.333333333333</v>
      </c>
      <c r="L7" s="5">
        <v>8016.666666666667</v>
      </c>
      <c r="M7" s="5">
        <v>8016.666666666667</v>
      </c>
      <c r="N7" s="5">
        <f t="shared" si="0"/>
        <v>55499.999999999993</v>
      </c>
    </row>
    <row r="8" spans="3:14" x14ac:dyDescent="0.25">
      <c r="C8" s="1" t="s">
        <v>15</v>
      </c>
      <c r="D8" s="5">
        <v>4933.333333333333</v>
      </c>
      <c r="E8" s="5">
        <v>4933.333333333333</v>
      </c>
      <c r="F8" s="5">
        <v>4933.333333333333</v>
      </c>
      <c r="G8" s="5">
        <v>4933.333333333333</v>
      </c>
      <c r="H8" s="5">
        <v>6166.666666666667</v>
      </c>
      <c r="I8" s="5">
        <v>6166.666666666667</v>
      </c>
      <c r="J8" s="5">
        <v>6783.333333333333</v>
      </c>
      <c r="K8" s="5">
        <v>6783.333333333333</v>
      </c>
      <c r="L8" s="5">
        <v>8016.666666666667</v>
      </c>
      <c r="M8" s="5">
        <v>8016.666666666667</v>
      </c>
      <c r="N8" s="5">
        <f t="shared" si="0"/>
        <v>61666.666666666664</v>
      </c>
    </row>
    <row r="9" spans="3:14" x14ac:dyDescent="0.25">
      <c r="C9" s="1" t="s">
        <v>16</v>
      </c>
      <c r="D9" s="5">
        <v>4933.333333333333</v>
      </c>
      <c r="E9" s="5">
        <v>4933.333333333333</v>
      </c>
      <c r="F9" s="5">
        <v>4933.333333333333</v>
      </c>
      <c r="G9" s="5">
        <v>4933.333333333333</v>
      </c>
      <c r="H9" s="5">
        <v>6166.666666666667</v>
      </c>
      <c r="I9" s="5">
        <v>6166.666666666667</v>
      </c>
      <c r="J9" s="5">
        <v>6783.333333333333</v>
      </c>
      <c r="K9" s="5">
        <v>12000</v>
      </c>
      <c r="L9" s="5">
        <v>8016.666666666667</v>
      </c>
      <c r="M9" s="5">
        <v>8016.666666666667</v>
      </c>
      <c r="N9" s="5">
        <f t="shared" si="0"/>
        <v>66883.333333333328</v>
      </c>
    </row>
    <row r="10" spans="3:14" x14ac:dyDescent="0.25">
      <c r="C10" s="1" t="s">
        <v>17</v>
      </c>
      <c r="D10" s="5">
        <v>4933.333333333333</v>
      </c>
      <c r="E10" s="5">
        <v>4933.333333333333</v>
      </c>
      <c r="F10" s="5">
        <v>4933.333333333333</v>
      </c>
      <c r="G10" s="5">
        <v>4933.333333333333</v>
      </c>
      <c r="H10" s="5">
        <v>6166.666666666667</v>
      </c>
      <c r="I10" s="5">
        <v>6166.666666666667</v>
      </c>
      <c r="J10" s="5">
        <v>6783.333333333333</v>
      </c>
      <c r="K10" s="5">
        <v>6783.333333333333</v>
      </c>
      <c r="L10" s="5">
        <v>8016.666666666667</v>
      </c>
      <c r="M10" s="5">
        <v>8016.666666666667</v>
      </c>
      <c r="N10" s="5">
        <f t="shared" si="0"/>
        <v>61666.666666666664</v>
      </c>
    </row>
    <row r="11" spans="3:14" x14ac:dyDescent="0.25">
      <c r="C11" s="1" t="s">
        <v>18</v>
      </c>
      <c r="D11" s="5">
        <v>4933.333333333333</v>
      </c>
      <c r="E11" s="5">
        <v>4933.333333333333</v>
      </c>
      <c r="F11" s="5">
        <v>4933.333333333333</v>
      </c>
      <c r="G11" s="5">
        <v>4933.333333333333</v>
      </c>
      <c r="H11" s="5">
        <v>6166.666666666667</v>
      </c>
      <c r="I11" s="5">
        <v>6166.666666666667</v>
      </c>
      <c r="J11" s="5">
        <v>6783.333333333333</v>
      </c>
      <c r="K11" s="5">
        <v>6783.333333333333</v>
      </c>
      <c r="L11" s="5">
        <v>8016.666666666667</v>
      </c>
      <c r="M11" s="5">
        <v>8016.666666666667</v>
      </c>
      <c r="N11" s="5">
        <f t="shared" si="0"/>
        <v>61666.666666666664</v>
      </c>
    </row>
    <row r="12" spans="3:14" x14ac:dyDescent="0.25">
      <c r="C12" s="1" t="s">
        <v>19</v>
      </c>
      <c r="D12" s="5">
        <v>4933.333333333333</v>
      </c>
      <c r="E12" s="5">
        <v>4933.333333333333</v>
      </c>
      <c r="F12" s="5">
        <v>4933.333333333333</v>
      </c>
      <c r="G12" s="5">
        <v>4933.333333333333</v>
      </c>
      <c r="H12" s="5">
        <v>6166.666666666667</v>
      </c>
      <c r="I12" s="5">
        <v>6166.666666666667</v>
      </c>
      <c r="J12" s="5">
        <v>6783.333333333333</v>
      </c>
      <c r="K12" s="5">
        <v>6783.333333333333</v>
      </c>
      <c r="L12" s="5">
        <v>8016.666666666667</v>
      </c>
      <c r="M12" s="5">
        <v>8016.666666666667</v>
      </c>
      <c r="N12" s="5">
        <f t="shared" si="0"/>
        <v>61666.666666666664</v>
      </c>
    </row>
    <row r="13" spans="3:14" x14ac:dyDescent="0.25">
      <c r="C13" s="1" t="s">
        <v>20</v>
      </c>
      <c r="D13" s="5">
        <v>4933.333333333333</v>
      </c>
      <c r="E13" s="5">
        <v>4933.333333333333</v>
      </c>
      <c r="F13" s="5">
        <v>4933.333333333333</v>
      </c>
      <c r="G13" s="5">
        <v>4933.333333333333</v>
      </c>
      <c r="H13" s="5">
        <v>6166.666666666667</v>
      </c>
      <c r="I13" s="5">
        <v>6166.666666666667</v>
      </c>
      <c r="J13" s="5">
        <v>6783.333333333333</v>
      </c>
      <c r="K13" s="5">
        <v>6783.333333333333</v>
      </c>
      <c r="L13" s="5">
        <v>8016.666666666667</v>
      </c>
      <c r="M13" s="5">
        <v>8016.666666666667</v>
      </c>
      <c r="N13" s="5">
        <f t="shared" si="0"/>
        <v>61666.666666666664</v>
      </c>
    </row>
    <row r="14" spans="3:14" x14ac:dyDescent="0.25">
      <c r="C14" s="1" t="s">
        <v>21</v>
      </c>
      <c r="D14" s="5">
        <v>4933.333333333333</v>
      </c>
      <c r="E14" s="5">
        <v>4933.333333333333</v>
      </c>
      <c r="F14" s="5">
        <v>4933.333333333333</v>
      </c>
      <c r="G14" s="5">
        <v>4933.333333333333</v>
      </c>
      <c r="H14" s="5">
        <v>6166.666666666667</v>
      </c>
      <c r="I14" s="5">
        <v>6166.666666666667</v>
      </c>
      <c r="J14" s="5">
        <v>6783.333333333333</v>
      </c>
      <c r="K14" s="5">
        <v>6783.333333333333</v>
      </c>
      <c r="L14" s="5">
        <v>8016.666666666667</v>
      </c>
      <c r="M14" s="5">
        <v>8016.666666666667</v>
      </c>
      <c r="N14" s="5">
        <f t="shared" si="0"/>
        <v>61666.666666666664</v>
      </c>
    </row>
    <row r="15" spans="3:14" x14ac:dyDescent="0.25">
      <c r="C15" s="1" t="s">
        <v>22</v>
      </c>
      <c r="D15" s="5">
        <v>4933.333333333333</v>
      </c>
      <c r="E15" s="5">
        <v>4933.333333333333</v>
      </c>
      <c r="F15" s="5">
        <v>4933.333333333333</v>
      </c>
      <c r="G15" s="5">
        <v>4933.333333333333</v>
      </c>
      <c r="H15" s="5">
        <v>6166.666666666667</v>
      </c>
      <c r="I15" s="5">
        <v>6166.666666666667</v>
      </c>
      <c r="J15" s="5">
        <v>6783.333333333333</v>
      </c>
      <c r="K15" s="5">
        <v>6783.333333333333</v>
      </c>
      <c r="L15" s="5">
        <v>8016.666666666667</v>
      </c>
      <c r="M15" s="5">
        <v>8016.666666666667</v>
      </c>
      <c r="N15" s="5">
        <f t="shared" si="0"/>
        <v>61666.666666666664</v>
      </c>
    </row>
    <row r="16" spans="3:14" x14ac:dyDescent="0.25">
      <c r="C16" s="1" t="s">
        <v>23</v>
      </c>
      <c r="D16" s="5">
        <v>4933.333333333333</v>
      </c>
      <c r="E16" s="5">
        <v>4933.333333333333</v>
      </c>
      <c r="F16" s="5">
        <v>4933.333333333333</v>
      </c>
      <c r="G16" s="5">
        <v>4933.333333333333</v>
      </c>
      <c r="H16" s="5">
        <v>6166.666666666667</v>
      </c>
      <c r="I16" s="5">
        <v>6166.666666666667</v>
      </c>
      <c r="J16" s="5">
        <v>6783.333333333333</v>
      </c>
      <c r="K16" s="5">
        <v>6783.333333333333</v>
      </c>
      <c r="L16" s="5">
        <v>8016.666666666667</v>
      </c>
      <c r="M16" s="5">
        <v>8016.666666666667</v>
      </c>
      <c r="N16" s="5">
        <f t="shared" si="0"/>
        <v>61666.666666666664</v>
      </c>
    </row>
    <row r="17" spans="1:15" x14ac:dyDescent="0.25">
      <c r="A17" s="6">
        <v>0.83333333333333337</v>
      </c>
      <c r="B17" s="6"/>
      <c r="C17" s="2" t="s">
        <v>11</v>
      </c>
      <c r="D17" s="7">
        <f>ROUND(SUM(D5:D16),0)</f>
        <v>56267</v>
      </c>
      <c r="E17" s="7">
        <f t="shared" ref="E17:M17" si="1">ROUND(SUM(E5:E16),0)</f>
        <v>59200</v>
      </c>
      <c r="F17" s="7">
        <f t="shared" si="1"/>
        <v>59200</v>
      </c>
      <c r="G17" s="7">
        <f t="shared" si="1"/>
        <v>59200</v>
      </c>
      <c r="H17" s="7">
        <f t="shared" si="1"/>
        <v>67834</v>
      </c>
      <c r="I17" s="7">
        <f t="shared" si="1"/>
        <v>74000</v>
      </c>
      <c r="J17" s="7">
        <f t="shared" si="1"/>
        <v>81400</v>
      </c>
      <c r="K17" s="7">
        <f t="shared" si="1"/>
        <v>86616</v>
      </c>
      <c r="L17" s="7">
        <f t="shared" si="1"/>
        <v>96200</v>
      </c>
      <c r="M17" s="7">
        <f t="shared" si="1"/>
        <v>96200</v>
      </c>
      <c r="N17" s="4">
        <f>ROUND(SUM(N5:N16),0)</f>
        <v>736117</v>
      </c>
    </row>
    <row r="18" spans="1:15" x14ac:dyDescent="0.25">
      <c r="C18" s="1" t="s">
        <v>31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5">
        <v>742000</v>
      </c>
    </row>
    <row r="19" spans="1:15" x14ac:dyDescent="0.25">
      <c r="C19" s="1" t="s">
        <v>25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5">
        <f>+ROUND(N18-N17,0)</f>
        <v>5883</v>
      </c>
    </row>
    <row r="20" spans="1:15" x14ac:dyDescent="0.25">
      <c r="C20" s="1" t="s">
        <v>26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3">
        <f>+N19/N17</f>
        <v>7.9919360645114845E-3</v>
      </c>
    </row>
    <row r="22" spans="1:15" x14ac:dyDescent="0.25">
      <c r="A22" t="s">
        <v>27</v>
      </c>
      <c r="B22" s="8">
        <f>SUM(D22:M22)</f>
        <v>3883.6666666666652</v>
      </c>
      <c r="C22" t="s">
        <v>32</v>
      </c>
      <c r="D22" s="8">
        <f>+D5-D6</f>
        <v>2933.333333333333</v>
      </c>
      <c r="E22" s="1"/>
      <c r="F22" s="1"/>
      <c r="G22" s="1"/>
      <c r="H22" s="8">
        <f>+H6</f>
        <v>6167</v>
      </c>
      <c r="I22" s="1"/>
      <c r="J22" s="1"/>
      <c r="K22" s="8">
        <f>+K8-K9</f>
        <v>-5216.666666666667</v>
      </c>
      <c r="L22" s="1"/>
      <c r="M22" s="1"/>
      <c r="N22" s="8">
        <f>SUM(C22:M22)</f>
        <v>3883.6666666666652</v>
      </c>
    </row>
    <row r="23" spans="1:15" s="12" customFormat="1" hidden="1" x14ac:dyDescent="0.25">
      <c r="A23" s="12" t="s">
        <v>37</v>
      </c>
      <c r="B23" s="13">
        <v>0</v>
      </c>
      <c r="C23" s="12" t="s">
        <v>33</v>
      </c>
      <c r="D23" s="14">
        <f>+ROUND($B23*(D17/$N$18),0)</f>
        <v>0</v>
      </c>
      <c r="E23" s="14">
        <f>+ROUND($B23*(E17/$N$18),0)</f>
        <v>0</v>
      </c>
      <c r="F23" s="14">
        <f>+ROUND($B23*(F17/$N$18),0)</f>
        <v>0</v>
      </c>
      <c r="G23" s="14">
        <f t="shared" ref="G23:L23" si="2">+ROUND($B23*(G17/$N$18),0)</f>
        <v>0</v>
      </c>
      <c r="H23" s="14">
        <f t="shared" si="2"/>
        <v>0</v>
      </c>
      <c r="I23" s="14">
        <f t="shared" si="2"/>
        <v>0</v>
      </c>
      <c r="J23" s="14">
        <f t="shared" si="2"/>
        <v>0</v>
      </c>
      <c r="K23" s="14">
        <f t="shared" si="2"/>
        <v>0</v>
      </c>
      <c r="L23" s="14">
        <f t="shared" si="2"/>
        <v>0</v>
      </c>
      <c r="M23" s="14">
        <f>+B23-SUM(D23:L23)</f>
        <v>0</v>
      </c>
      <c r="N23" s="14">
        <f t="shared" ref="N23" si="3">SUM(C23:M23)</f>
        <v>0</v>
      </c>
    </row>
    <row r="24" spans="1:15" s="15" customFormat="1" x14ac:dyDescent="0.25">
      <c r="A24" s="15" t="s">
        <v>34</v>
      </c>
      <c r="B24" s="16"/>
      <c r="D24" s="17"/>
      <c r="E24" s="18">
        <v>59200</v>
      </c>
      <c r="F24" s="17"/>
      <c r="G24" s="17"/>
      <c r="H24" s="18">
        <f>+H22+H17</f>
        <v>74001</v>
      </c>
      <c r="I24" s="17"/>
      <c r="J24" s="17"/>
      <c r="K24" s="17"/>
      <c r="L24" s="17"/>
      <c r="M24" s="17"/>
      <c r="N24" s="5">
        <f>SUM(D24:M24)</f>
        <v>133201</v>
      </c>
    </row>
    <row r="25" spans="1:15" x14ac:dyDescent="0.25">
      <c r="A25" t="s">
        <v>30</v>
      </c>
      <c r="B25" s="10">
        <f>+N19</f>
        <v>5883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5" x14ac:dyDescent="0.25">
      <c r="A26" t="s">
        <v>29</v>
      </c>
      <c r="B26" s="10">
        <f>+ROUND(B25-B22,0)</f>
        <v>1999</v>
      </c>
      <c r="C26" t="s">
        <v>35</v>
      </c>
      <c r="D26" s="9">
        <f>+ROUND($B26*(D17/$N$17),0)</f>
        <v>153</v>
      </c>
      <c r="E26" s="9">
        <f t="shared" ref="E26:L26" si="4">+ROUND($B26*(E17/$N$17),0)</f>
        <v>161</v>
      </c>
      <c r="F26" s="9">
        <f t="shared" si="4"/>
        <v>161</v>
      </c>
      <c r="G26" s="9">
        <f t="shared" si="4"/>
        <v>161</v>
      </c>
      <c r="H26" s="9">
        <f t="shared" si="4"/>
        <v>184</v>
      </c>
      <c r="I26" s="9">
        <f t="shared" si="4"/>
        <v>201</v>
      </c>
      <c r="J26" s="9">
        <f t="shared" si="4"/>
        <v>221</v>
      </c>
      <c r="K26" s="9">
        <f t="shared" si="4"/>
        <v>235</v>
      </c>
      <c r="L26" s="9">
        <f t="shared" si="4"/>
        <v>261</v>
      </c>
      <c r="M26" s="9">
        <f>+B26-SUM(D26:L26)</f>
        <v>261</v>
      </c>
      <c r="N26" s="8">
        <f>ROUND(SUM(D26:M26),0)</f>
        <v>1999</v>
      </c>
      <c r="O26" s="9"/>
    </row>
    <row r="27" spans="1:15" x14ac:dyDescent="0.25">
      <c r="A27" t="s">
        <v>28</v>
      </c>
      <c r="B27" s="1"/>
      <c r="D27" s="5">
        <f>+D17+D22+D26-D24</f>
        <v>59353.333333333336</v>
      </c>
      <c r="E27" s="5">
        <f t="shared" ref="E27:M27" si="5">+E17+E22+E26-E24</f>
        <v>161</v>
      </c>
      <c r="F27" s="5">
        <f t="shared" si="5"/>
        <v>59361</v>
      </c>
      <c r="G27" s="5">
        <f t="shared" si="5"/>
        <v>59361</v>
      </c>
      <c r="H27" s="5">
        <f t="shared" si="5"/>
        <v>184</v>
      </c>
      <c r="I27" s="5">
        <f t="shared" si="5"/>
        <v>74201</v>
      </c>
      <c r="J27" s="5">
        <f t="shared" si="5"/>
        <v>81621</v>
      </c>
      <c r="K27" s="5">
        <f t="shared" si="5"/>
        <v>81634.333333333328</v>
      </c>
      <c r="L27" s="5">
        <f t="shared" si="5"/>
        <v>96461</v>
      </c>
      <c r="M27" s="5">
        <f t="shared" si="5"/>
        <v>96461</v>
      </c>
      <c r="N27" s="5">
        <f>SUM(D27:M27)</f>
        <v>608798.66666666674</v>
      </c>
    </row>
    <row r="28" spans="1:15" x14ac:dyDescent="0.25">
      <c r="A28" t="s">
        <v>36</v>
      </c>
      <c r="N28" s="5">
        <f>+N18-N27</f>
        <v>133201.33333333326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Payan</dc:creator>
  <cp:lastModifiedBy>Javier Enrique Mora Diaz</cp:lastModifiedBy>
  <dcterms:created xsi:type="dcterms:W3CDTF">2022-06-13T15:09:19Z</dcterms:created>
  <dcterms:modified xsi:type="dcterms:W3CDTF">2022-09-29T21:04:13Z</dcterms:modified>
</cp:coreProperties>
</file>